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xr:revisionPtr revIDLastSave="0" documentId="8_{563E0C6F-8925-4A91-B191-CAF3D798DF5F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planilha 1" sheetId="1" r:id="rId1"/>
    <sheet name="planilha 2" sheetId="2" r:id="rId2"/>
  </sheets>
  <definedNames>
    <definedName name="anos">'planilha 1'!$C$15</definedName>
    <definedName name="aporte">'planilha 1'!$C$14</definedName>
    <definedName name="perfil_selecionado">'planilha 1'!$C$17</definedName>
    <definedName name="salario">'planilha 1'!$C$12</definedName>
    <definedName name="taxa_mensal">'planilha 1'!$C$16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G16" i="1"/>
  <c r="G12" i="1"/>
  <c r="G13" i="1"/>
  <c r="G14" i="1"/>
  <c r="G15" i="1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G27" i="1"/>
  <c r="H27" i="1" s="1"/>
  <c r="G26" i="1"/>
  <c r="H26" i="1" s="1"/>
  <c r="C26" i="1"/>
  <c r="D26" i="1" s="1"/>
  <c r="G25" i="1"/>
  <c r="H25" i="1" s="1"/>
  <c r="C25" i="1"/>
  <c r="D25" i="1" s="1"/>
  <c r="G24" i="1"/>
  <c r="H24" i="1" s="1"/>
  <c r="C24" i="1"/>
  <c r="D24" i="1" s="1"/>
  <c r="G23" i="1"/>
  <c r="H23" i="1" s="1"/>
  <c r="C23" i="1"/>
  <c r="D23" i="1" s="1"/>
  <c r="G22" i="1"/>
  <c r="C22" i="1"/>
  <c r="D22" i="1" s="1"/>
  <c r="C13" i="1"/>
  <c r="G28" i="1" l="1"/>
  <c r="H22" i="1"/>
  <c r="H28" i="1" s="1"/>
</calcChain>
</file>

<file path=xl/sharedStrings.xml><?xml version="1.0" encoding="utf-8"?>
<sst xmlns="http://schemas.openxmlformats.org/spreadsheetml/2006/main" count="69" uniqueCount="35">
  <si>
    <t>1. CONFIGURAÇÕES E ENTRADAS DE DADOS</t>
  </si>
  <si>
    <t>2. RESUMO DE RESULTADOS</t>
  </si>
  <si>
    <t>Salário Mensal (R$)</t>
  </si>
  <si>
    <t>1. Quanto investir por mês?</t>
  </si>
  <si>
    <t>Sugestão de Aporte (30%)</t>
  </si>
  <si>
    <t>2. Por quantos anos?</t>
  </si>
  <si>
    <t>Aporte Mensal Desejado (R$)</t>
  </si>
  <si>
    <t>3. Qual a taxa mensal?</t>
  </si>
  <si>
    <t>Período de Investimento (Anos)</t>
  </si>
  <si>
    <t>4. Patrimônio Acumulado (VF):</t>
  </si>
  <si>
    <t>Taxa Mensal Estimada (%)</t>
  </si>
  <si>
    <t>5. Dividendos Mensais Estimados:</t>
  </si>
  <si>
    <t>Perfil de Investidor</t>
  </si>
  <si>
    <t>Moderado</t>
  </si>
  <si>
    <t>3. PROJEÇÃO DE CENÁRIOS TEMPORAIS</t>
  </si>
  <si>
    <t>4. ALOCAÇÃO DO APORTE POR PERFIL DE INVESTIDOR</t>
  </si>
  <si>
    <t>Anos</t>
  </si>
  <si>
    <t>Patrimônio Acumulado (VF)</t>
  </si>
  <si>
    <t>Dividendos Mensais</t>
  </si>
  <si>
    <t>Tipo de Fundo Imobiliário</t>
  </si>
  <si>
    <t>% Alocação</t>
  </si>
  <si>
    <t>Valor Mensal (R$)</t>
  </si>
  <si>
    <t>FIIs de Tijolo - Logística</t>
  </si>
  <si>
    <t>FIIs de Tijolo - Shopping</t>
  </si>
  <si>
    <t>FIIs de Papel (CRI)</t>
  </si>
  <si>
    <t>Fundos de Fundos (FoF)</t>
  </si>
  <si>
    <t>Fiagros (Agronegócio)</t>
  </si>
  <si>
    <t>FIIs de Tijolo - Lajes Corp.</t>
  </si>
  <si>
    <t>TOTAL</t>
  </si>
  <si>
    <t>Chave Composta</t>
  </si>
  <si>
    <t>Perfil</t>
  </si>
  <si>
    <t>Tipo de Fundo</t>
  </si>
  <si>
    <t>%</t>
  </si>
  <si>
    <t>Conservador</t>
  </si>
  <si>
    <t>Arrojado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</si>
</sst>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R\$\ #,##0.00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8ECEF"/>
        <bgColor rgb="FFE8ECEF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E8FCC"/>
        <bgColor indexed="64"/>
      </patternFill>
    </fill>
    <fill>
      <patternFill patternType="solid">
        <fgColor rgb="FFE6EEF5"/>
        <bgColor indexed="64"/>
      </patternFill>
    </fill>
    <fill>
      <patternFill patternType="solid">
        <fgColor rgb="FFE0E0E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1" xfId="0" applyFont="1" applyBorder="1"/>
    <xf numFmtId="165" fontId="4" fillId="2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right" vertical="center"/>
    </xf>
    <xf numFmtId="164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0" fillId="3" borderId="0" xfId="0" applyFill="1"/>
    <xf numFmtId="0" fontId="5" fillId="3" borderId="0" xfId="0" applyFont="1" applyFill="1"/>
    <xf numFmtId="0" fontId="1" fillId="4" borderId="0" xfId="0" applyFont="1" applyFill="1" applyAlignment="1">
      <alignment horizontal="center" vertical="center"/>
    </xf>
    <xf numFmtId="0" fontId="2" fillId="3" borderId="0" xfId="0" applyFont="1" applyFill="1"/>
    <xf numFmtId="165" fontId="4" fillId="5" borderId="1" xfId="0" applyNumberFormat="1" applyFont="1" applyFill="1" applyBorder="1" applyAlignment="1">
      <alignment horizontal="right" vertical="center"/>
    </xf>
    <xf numFmtId="1" fontId="4" fillId="5" borderId="1" xfId="0" applyNumberFormat="1" applyFont="1" applyFill="1" applyBorder="1" applyAlignment="1">
      <alignment horizontal="right" vertical="center"/>
    </xf>
    <xf numFmtId="10" fontId="4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right" vertical="center"/>
    </xf>
    <xf numFmtId="0" fontId="0" fillId="0" borderId="2" xfId="0" applyBorder="1"/>
    <xf numFmtId="164" fontId="0" fillId="0" borderId="2" xfId="0" applyNumberFormat="1" applyBorder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0E0E0"/>
      <color rgb="FFE6EEF5"/>
      <color rgb="FFEDF5FC"/>
      <color rgb="FFDEA0CA"/>
      <color rgb="FFF595D7"/>
      <color rgb="FFDE8AC0"/>
      <color rgb="FFACDBE8"/>
      <color rgb="FFCD7DF0"/>
      <color rgb="FFE7E7E7"/>
      <color rgb="FF9E8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>
                <a:latin typeface="Calibri"/>
                <a:ea typeface="Calibri"/>
                <a:cs typeface="Calibri"/>
              </a:defRPr>
            </a:pPr>
            <a:r>
              <a:rPr lang="en-US"/>
              <a:t>Distribuição do Aporte Mensal por Tipo de Fundo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'planilha 1'!H21</c:f>
              <c:strCache>
                <c:ptCount val="1"/>
                <c:pt idx="0">
                  <c:v>Valor Mensal (R$)</c:v>
                </c:pt>
              </c:strCache>
            </c:strRef>
          </c:tx>
          <c:dPt>
            <c:idx val="0"/>
            <c:bubble3D val="0"/>
            <c:spPr>
              <a:solidFill>
                <a:srgbClr val="B1A0C7"/>
              </a:solidFill>
            </c:spPr>
            <c:extLst>
              <c:ext xmlns:c16="http://schemas.microsoft.com/office/drawing/2014/chart" uri="{C3380CC4-5D6E-409C-BE32-E72D297353CC}">
                <c16:uniqueId val="{00000001-4700-484C-B857-6E68820087E3}"/>
              </c:ext>
            </c:extLst>
          </c:dPt>
          <c:dPt>
            <c:idx val="1"/>
            <c:bubble3D val="0"/>
            <c:spPr>
              <a:solidFill>
                <a:srgbClr val="DEA0CA"/>
              </a:solidFill>
            </c:spPr>
            <c:extLst>
              <c:ext xmlns:c16="http://schemas.microsoft.com/office/drawing/2014/chart" uri="{C3380CC4-5D6E-409C-BE32-E72D297353CC}">
                <c16:uniqueId val="{00000003-4700-484C-B857-6E68820087E3}"/>
              </c:ext>
            </c:extLst>
          </c:dPt>
          <c:dPt>
            <c:idx val="2"/>
            <c:bubble3D val="0"/>
            <c:spPr>
              <a:solidFill>
                <a:srgbClr val="92CDDC"/>
              </a:solidFill>
            </c:spPr>
            <c:extLst>
              <c:ext xmlns:c16="http://schemas.microsoft.com/office/drawing/2014/chart" uri="{C3380CC4-5D6E-409C-BE32-E72D297353CC}">
                <c16:uniqueId val="{00000002-4700-484C-B857-6E68820087E3}"/>
              </c:ext>
            </c:extLst>
          </c:dPt>
          <c:dPt>
            <c:idx val="3"/>
            <c:bubble3D val="0"/>
            <c:spPr>
              <a:solidFill>
                <a:srgbClr val="C4D79B"/>
              </a:solidFill>
            </c:spPr>
            <c:extLst>
              <c:ext xmlns:c16="http://schemas.microsoft.com/office/drawing/2014/chart" uri="{C3380CC4-5D6E-409C-BE32-E72D297353CC}">
                <c16:uniqueId val="{00000000-A993-4D97-B336-491F9C8D9158}"/>
              </c:ext>
            </c:extLst>
          </c:dPt>
          <c:dPt>
            <c:idx val="4"/>
            <c:bubble3D val="0"/>
            <c:spPr>
              <a:solidFill>
                <a:srgbClr val="FABF8F"/>
              </a:solidFill>
            </c:spPr>
            <c:extLst>
              <c:ext xmlns:c16="http://schemas.microsoft.com/office/drawing/2014/chart" uri="{C3380CC4-5D6E-409C-BE32-E72D297353CC}">
                <c16:uniqueId val="{00000001-A6C0-43C9-B9D8-662A89CE03DC}"/>
              </c:ext>
            </c:extLst>
          </c:dPt>
          <c:dPt>
            <c:idx val="5"/>
            <c:bubble3D val="0"/>
            <c:spPr>
              <a:solidFill>
                <a:srgbClr val="DA9694"/>
              </a:solidFill>
            </c:spPr>
            <c:extLst>
              <c:ext xmlns:c16="http://schemas.microsoft.com/office/drawing/2014/chart" uri="{C3380CC4-5D6E-409C-BE32-E72D297353CC}">
                <c16:uniqueId val="{00000000-A6C0-43C9-B9D8-662A89CE03DC}"/>
              </c:ext>
            </c:extLst>
          </c:dPt>
          <c:cat>
            <c:strRef>
              <c:f>'planilha 1'!$F$22:$F$27</c:f>
              <c:strCache>
                <c:ptCount val="6"/>
                <c:pt idx="0">
                  <c:v>FIIs de Tijolo - Logística</c:v>
                </c:pt>
                <c:pt idx="1">
                  <c:v>FIIs de Tijolo - Shopping</c:v>
                </c:pt>
                <c:pt idx="2">
                  <c:v>FIIs de Papel (CRI)</c:v>
                </c:pt>
                <c:pt idx="3">
                  <c:v>Fundos de Fundos (FoF)</c:v>
                </c:pt>
                <c:pt idx="4">
                  <c:v>Fiagros (Agronegócio)</c:v>
                </c:pt>
                <c:pt idx="5">
                  <c:v>FIIs de Tijolo - Lajes Corp.</c:v>
                </c:pt>
              </c:strCache>
            </c:strRef>
          </c:cat>
          <c:val>
            <c:numRef>
              <c:f>'planilha 1'!$H$22:$H$27</c:f>
              <c:numCache>
                <c:formatCode>\R\$\ #,##0.00</c:formatCode>
                <c:ptCount val="6"/>
                <c:pt idx="0">
                  <c:v>375</c:v>
                </c:pt>
                <c:pt idx="1">
                  <c:v>300</c:v>
                </c:pt>
                <c:pt idx="2">
                  <c:v>375</c:v>
                </c:pt>
                <c:pt idx="3">
                  <c:v>225</c:v>
                </c:pt>
                <c:pt idx="4">
                  <c:v>150</c:v>
                </c:pt>
                <c:pt idx="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5-4299-8648-60C7C0804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l"/>
      <c:overlay val="0"/>
      <c:spPr>
        <a:solidFill>
          <a:srgbClr val="FFFFFF"/>
        </a:solidFill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</c:spPr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1885950</xdr:colOff>
      <xdr:row>28</xdr:row>
      <xdr:rowOff>152400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 editAs="oneCell">
    <xdr:from>
      <xdr:col>2</xdr:col>
      <xdr:colOff>19050</xdr:colOff>
      <xdr:row>0</xdr:row>
      <xdr:rowOff>161925</xdr:rowOff>
    </xdr:from>
    <xdr:to>
      <xdr:col>6</xdr:col>
      <xdr:colOff>314325</xdr:colOff>
      <xdr:row>8</xdr:row>
      <xdr:rowOff>114300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4814E93-8622-CA55-7FB7-82A2E3C3626C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6875" t="35000" r="14375" b="45417"/>
        <a:stretch>
          <a:fillRect/>
        </a:stretch>
      </xdr:blipFill>
      <xdr:spPr>
        <a:xfrm>
          <a:off x="2219325" y="161925"/>
          <a:ext cx="6029325" cy="1476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0:H28"/>
  <sheetViews>
    <sheetView showGridLines="0" topLeftCell="A2" workbookViewId="0">
      <selection activeCell="C11" sqref="C11"/>
    </sheetView>
  </sheetViews>
  <sheetFormatPr defaultColWidth="9.140625" defaultRowHeight="15"/>
  <cols>
    <col min="1" max="1" width="3" customWidth="1"/>
    <col min="2" max="2" width="30" customWidth="1"/>
    <col min="3" max="3" width="26" customWidth="1"/>
    <col min="4" max="4" width="24" customWidth="1"/>
    <col min="5" max="5" width="4" customWidth="1"/>
    <col min="6" max="6" width="32" customWidth="1"/>
    <col min="7" max="7" width="16" customWidth="1"/>
    <col min="8" max="8" width="26" customWidth="1"/>
    <col min="9" max="9" width="3" customWidth="1"/>
  </cols>
  <sheetData>
    <row r="10" spans="2:7" ht="15" customHeight="1"/>
    <row r="11" spans="2:7">
      <c r="B11" s="9" t="s">
        <v>0</v>
      </c>
      <c r="C11" s="8"/>
      <c r="F11" s="9" t="s">
        <v>1</v>
      </c>
      <c r="G11" s="8"/>
    </row>
    <row r="12" spans="2:7">
      <c r="B12" s="1" t="s">
        <v>2</v>
      </c>
      <c r="C12" s="12">
        <v>5000</v>
      </c>
      <c r="F12" s="1" t="s">
        <v>3</v>
      </c>
      <c r="G12" s="12">
        <f>aporte</f>
        <v>1500</v>
      </c>
    </row>
    <row r="13" spans="2:7">
      <c r="B13" s="1" t="s">
        <v>4</v>
      </c>
      <c r="C13" s="2">
        <f>C12*0.3</f>
        <v>1500</v>
      </c>
      <c r="F13" s="1" t="s">
        <v>5</v>
      </c>
      <c r="G13" s="15" t="str">
        <f>anos &amp; " anos"</f>
        <v>10 anos</v>
      </c>
    </row>
    <row r="14" spans="2:7">
      <c r="B14" s="1" t="s">
        <v>6</v>
      </c>
      <c r="C14" s="12">
        <v>1500</v>
      </c>
      <c r="F14" s="1" t="s">
        <v>7</v>
      </c>
      <c r="G14" s="14">
        <f>taxa_mensal</f>
        <v>8.0000000000000002E-3</v>
      </c>
    </row>
    <row r="15" spans="2:7">
      <c r="B15" s="1" t="s">
        <v>8</v>
      </c>
      <c r="C15" s="13">
        <v>10</v>
      </c>
      <c r="F15" s="1" t="s">
        <v>9</v>
      </c>
      <c r="G15" s="18">
        <f>FV(taxa_mensal, anos*12, -aporte)</f>
        <v>300326.20411487721</v>
      </c>
    </row>
    <row r="16" spans="2:7">
      <c r="B16" s="1" t="s">
        <v>10</v>
      </c>
      <c r="C16" s="14">
        <v>8.0000000000000002E-3</v>
      </c>
      <c r="F16" s="1" t="s">
        <v>11</v>
      </c>
      <c r="G16" s="18">
        <f>G15*taxa_mensal</f>
        <v>2402.6096329190177</v>
      </c>
    </row>
    <row r="17" spans="2:8">
      <c r="B17" s="1" t="s">
        <v>12</v>
      </c>
      <c r="C17" s="15" t="s">
        <v>13</v>
      </c>
    </row>
    <row r="20" spans="2:8" ht="15.75">
      <c r="B20" s="11" t="s">
        <v>14</v>
      </c>
      <c r="C20" s="11"/>
      <c r="D20" s="11"/>
      <c r="F20" s="11" t="s">
        <v>15</v>
      </c>
      <c r="G20" s="8"/>
      <c r="H20" s="8"/>
    </row>
    <row r="21" spans="2:8">
      <c r="B21" s="10" t="s">
        <v>16</v>
      </c>
      <c r="C21" s="10" t="s">
        <v>17</v>
      </c>
      <c r="D21" s="10" t="s">
        <v>18</v>
      </c>
      <c r="F21" s="10" t="s">
        <v>19</v>
      </c>
      <c r="G21" s="10" t="s">
        <v>20</v>
      </c>
      <c r="H21" s="10" t="s">
        <v>21</v>
      </c>
    </row>
    <row r="22" spans="2:8">
      <c r="B22" s="3">
        <v>2</v>
      </c>
      <c r="C22" s="16">
        <f>FV(taxa_mensal, B22*12, -aporte)</f>
        <v>39514.732666679345</v>
      </c>
      <c r="D22" s="18">
        <f>C22*taxa_mensal</f>
        <v>316.11786133343475</v>
      </c>
      <c r="F22" s="1" t="s">
        <v>22</v>
      </c>
      <c r="G22" s="17">
        <f>VLOOKUP(perfil_selecionado &amp; F22, 'planilha 2'!$A:$D, 4, FALSE)</f>
        <v>0.25</v>
      </c>
      <c r="H22" s="12">
        <f>aporte * G22</f>
        <v>375</v>
      </c>
    </row>
    <row r="23" spans="2:8">
      <c r="B23" s="3">
        <v>5</v>
      </c>
      <c r="C23" s="16">
        <f>FV(taxa_mensal, B23*12, -aporte)</f>
        <v>114935.80024782033</v>
      </c>
      <c r="D23" s="18">
        <f>C23*taxa_mensal</f>
        <v>919.4864019825626</v>
      </c>
      <c r="F23" s="1" t="s">
        <v>23</v>
      </c>
      <c r="G23" s="17">
        <f>VLOOKUP(perfil_selecionado &amp; F23, 'planilha 2'!$A:$D, 4, FALSE)</f>
        <v>0.2</v>
      </c>
      <c r="H23" s="12">
        <f>aporte * G23</f>
        <v>300</v>
      </c>
    </row>
    <row r="24" spans="2:8">
      <c r="B24" s="3">
        <v>10</v>
      </c>
      <c r="C24" s="16">
        <f>FV(taxa_mensal, B24*12, -aporte)</f>
        <v>300326.20411487721</v>
      </c>
      <c r="D24" s="18">
        <f>C24*taxa_mensal</f>
        <v>2402.6096329190177</v>
      </c>
      <c r="F24" s="1" t="s">
        <v>24</v>
      </c>
      <c r="G24" s="17">
        <f>VLOOKUP(perfil_selecionado &amp; F24, 'planilha 2'!$A:$D, 4, FALSE)</f>
        <v>0.25</v>
      </c>
      <c r="H24" s="12">
        <f>aporte * G24</f>
        <v>375</v>
      </c>
    </row>
    <row r="25" spans="2:8">
      <c r="B25" s="3">
        <v>20</v>
      </c>
      <c r="C25" s="16">
        <f>FV(taxa_mensal, B25*12, -aporte)</f>
        <v>1081696.8289126926</v>
      </c>
      <c r="D25" s="18">
        <f>C25*taxa_mensal</f>
        <v>8653.5746313015406</v>
      </c>
      <c r="F25" s="1" t="s">
        <v>25</v>
      </c>
      <c r="G25" s="17">
        <f>VLOOKUP(perfil_selecionado &amp; F25, 'planilha 2'!$A:$D, 4, FALSE)</f>
        <v>0.15</v>
      </c>
      <c r="H25" s="12">
        <f>aporte * G25</f>
        <v>225</v>
      </c>
    </row>
    <row r="26" spans="2:8">
      <c r="B26" s="3">
        <v>30</v>
      </c>
      <c r="C26" s="16">
        <f>FV(taxa_mensal, B26*12, -aporte)</f>
        <v>3114619.8470566277</v>
      </c>
      <c r="D26" s="18">
        <f>C26*taxa_mensal</f>
        <v>24916.958776453022</v>
      </c>
      <c r="F26" s="1" t="s">
        <v>26</v>
      </c>
      <c r="G26" s="17">
        <f>VLOOKUP(perfil_selecionado &amp; F26, 'planilha 2'!$A:$D, 4, FALSE)</f>
        <v>0.1</v>
      </c>
      <c r="H26" s="12">
        <f>aporte * G26</f>
        <v>150</v>
      </c>
    </row>
    <row r="27" spans="2:8">
      <c r="F27" s="1" t="s">
        <v>27</v>
      </c>
      <c r="G27" s="17">
        <f>VLOOKUP(perfil_selecionado &amp; F27, 'planilha 2'!$A:$D, 4, FALSE)</f>
        <v>0.05</v>
      </c>
      <c r="H27" s="12">
        <f>aporte * G27</f>
        <v>75</v>
      </c>
    </row>
    <row r="28" spans="2:8">
      <c r="F28" s="7" t="s">
        <v>28</v>
      </c>
      <c r="G28" s="4">
        <f>SUM(G22:G27)</f>
        <v>1</v>
      </c>
      <c r="H28" s="5">
        <f>SUM(H22:H27)</f>
        <v>1500</v>
      </c>
    </row>
  </sheetData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'planilha 2'!#REF!</xm:f>
          </x14:formula1>
          <xm:sqref>C17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showGridLines="0" tabSelected="1" workbookViewId="0">
      <selection activeCell="E11" sqref="E11"/>
    </sheetView>
  </sheetViews>
  <sheetFormatPr defaultRowHeight="15"/>
  <cols>
    <col min="1" max="1" width="35.42578125" customWidth="1"/>
    <col min="2" max="2" width="13.5703125" customWidth="1"/>
    <col min="3" max="3" width="23.5703125" customWidth="1"/>
    <col min="4" max="4" width="6.42578125" bestFit="1" customWidth="1"/>
    <col min="5" max="5" width="28" customWidth="1"/>
  </cols>
  <sheetData>
    <row r="1" spans="1:4">
      <c r="A1" s="21" t="s">
        <v>29</v>
      </c>
      <c r="B1" s="21" t="s">
        <v>30</v>
      </c>
      <c r="C1" s="21" t="s">
        <v>31</v>
      </c>
      <c r="D1" s="21" t="s">
        <v>32</v>
      </c>
    </row>
    <row r="2" spans="1:4">
      <c r="A2" t="str">
        <f>B2&amp;C2</f>
        <v>ConservadorFIIs de Tijolo - Logística</v>
      </c>
      <c r="B2" t="s">
        <v>33</v>
      </c>
      <c r="C2" t="s">
        <v>22</v>
      </c>
      <c r="D2" s="6">
        <v>0.3</v>
      </c>
    </row>
    <row r="3" spans="1:4">
      <c r="A3" t="str">
        <f>B3&amp;C3</f>
        <v>ConservadorFIIs de Tijolo - Shopping</v>
      </c>
      <c r="B3" t="s">
        <v>33</v>
      </c>
      <c r="C3" t="s">
        <v>23</v>
      </c>
      <c r="D3" s="6">
        <v>0.2</v>
      </c>
    </row>
    <row r="4" spans="1:4">
      <c r="A4" t="str">
        <f>B4&amp;C4</f>
        <v>ConservadorFIIs de Papel (CRI)</v>
      </c>
      <c r="B4" t="s">
        <v>33</v>
      </c>
      <c r="C4" t="s">
        <v>24</v>
      </c>
      <c r="D4" s="6">
        <v>0.3</v>
      </c>
    </row>
    <row r="5" spans="1:4">
      <c r="A5" t="str">
        <f>B5&amp;C5</f>
        <v>ConservadorFundos de Fundos (FoF)</v>
      </c>
      <c r="B5" t="s">
        <v>33</v>
      </c>
      <c r="C5" t="s">
        <v>25</v>
      </c>
      <c r="D5" s="6">
        <v>0.1</v>
      </c>
    </row>
    <row r="6" spans="1:4">
      <c r="A6" t="str">
        <f>B6&amp;C6</f>
        <v>ConservadorFiagros (Agronegócio)</v>
      </c>
      <c r="B6" t="s">
        <v>33</v>
      </c>
      <c r="C6" t="s">
        <v>26</v>
      </c>
      <c r="D6" s="6">
        <v>0.05</v>
      </c>
    </row>
    <row r="7" spans="1:4">
      <c r="A7" s="19" t="str">
        <f>B7&amp;C7</f>
        <v>ConservadorFIIs de Tijolo - Lajes Corp.</v>
      </c>
      <c r="B7" s="19" t="s">
        <v>33</v>
      </c>
      <c r="C7" s="19" t="s">
        <v>27</v>
      </c>
      <c r="D7" s="20">
        <v>0.05</v>
      </c>
    </row>
    <row r="8" spans="1:4">
      <c r="A8" t="str">
        <f>B8&amp;C8</f>
        <v>ModeradoFIIs de Tijolo - Logística</v>
      </c>
      <c r="B8" t="s">
        <v>13</v>
      </c>
      <c r="C8" t="s">
        <v>22</v>
      </c>
      <c r="D8" s="6">
        <v>0.25</v>
      </c>
    </row>
    <row r="9" spans="1:4">
      <c r="A9" t="str">
        <f>B9&amp;C9</f>
        <v>ModeradoFIIs de Tijolo - Shopping</v>
      </c>
      <c r="B9" t="s">
        <v>13</v>
      </c>
      <c r="C9" t="s">
        <v>23</v>
      </c>
      <c r="D9" s="6">
        <v>0.2</v>
      </c>
    </row>
    <row r="10" spans="1:4">
      <c r="A10" t="str">
        <f>B10&amp;C10</f>
        <v>ModeradoFIIs de Papel (CRI)</v>
      </c>
      <c r="B10" t="s">
        <v>13</v>
      </c>
      <c r="C10" t="s">
        <v>24</v>
      </c>
      <c r="D10" s="6">
        <v>0.25</v>
      </c>
    </row>
    <row r="11" spans="1:4">
      <c r="A11" t="str">
        <f>B11&amp;C11</f>
        <v>ModeradoFundos de Fundos (FoF)</v>
      </c>
      <c r="B11" t="s">
        <v>13</v>
      </c>
      <c r="C11" t="s">
        <v>25</v>
      </c>
      <c r="D11" s="6">
        <v>0.15</v>
      </c>
    </row>
    <row r="12" spans="1:4">
      <c r="A12" t="str">
        <f>B12&amp;C12</f>
        <v>ModeradoFiagros (Agronegócio)</v>
      </c>
      <c r="B12" t="s">
        <v>13</v>
      </c>
      <c r="C12" t="s">
        <v>26</v>
      </c>
      <c r="D12" s="6">
        <v>0.1</v>
      </c>
    </row>
    <row r="13" spans="1:4">
      <c r="A13" s="19" t="str">
        <f>B13&amp;C13</f>
        <v>ModeradoFIIs de Tijolo - Lajes Corp.</v>
      </c>
      <c r="B13" s="19" t="s">
        <v>13</v>
      </c>
      <c r="C13" s="19" t="s">
        <v>27</v>
      </c>
      <c r="D13" s="20">
        <v>0.05</v>
      </c>
    </row>
    <row r="14" spans="1:4">
      <c r="A14" t="str">
        <f>B14&amp;C14</f>
        <v>ArrojadoFIIs de Tijolo - Logística</v>
      </c>
      <c r="B14" t="s">
        <v>34</v>
      </c>
      <c r="C14" t="s">
        <v>22</v>
      </c>
      <c r="D14" s="6">
        <v>0.2</v>
      </c>
    </row>
    <row r="15" spans="1:4">
      <c r="A15" t="str">
        <f>B15&amp;C15</f>
        <v>ArrojadoFIIs de Tijolo - Shopping</v>
      </c>
      <c r="B15" t="s">
        <v>34</v>
      </c>
      <c r="C15" t="s">
        <v>23</v>
      </c>
      <c r="D15" s="6">
        <v>0.15</v>
      </c>
    </row>
    <row r="16" spans="1:4">
      <c r="A16" t="str">
        <f>B16&amp;C16</f>
        <v>ArrojadoFIIs de Papel (CRI)</v>
      </c>
      <c r="B16" t="s">
        <v>34</v>
      </c>
      <c r="C16" t="s">
        <v>24</v>
      </c>
      <c r="D16" s="6">
        <v>0.2</v>
      </c>
    </row>
    <row r="17" spans="1:4">
      <c r="A17" t="str">
        <f>B17&amp;C17</f>
        <v>ArrojadoFundos de Fundos (FoF)</v>
      </c>
      <c r="B17" t="s">
        <v>34</v>
      </c>
      <c r="C17" t="s">
        <v>25</v>
      </c>
      <c r="D17" s="6">
        <v>0.15</v>
      </c>
    </row>
    <row r="18" spans="1:4">
      <c r="A18" t="str">
        <f>B18&amp;C18</f>
        <v>ArrojadoFiagros (Agronegócio)</v>
      </c>
      <c r="B18" t="s">
        <v>34</v>
      </c>
      <c r="C18" t="s">
        <v>26</v>
      </c>
      <c r="D18" s="6">
        <v>0.15</v>
      </c>
    </row>
    <row r="19" spans="1:4">
      <c r="A19" t="str">
        <f>B19&amp;C19</f>
        <v>ArrojadoFIIs de Tijolo - Lajes Corp.</v>
      </c>
      <c r="B19" t="s">
        <v>34</v>
      </c>
      <c r="C19" t="s">
        <v>27</v>
      </c>
      <c r="D19" s="6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2026-10-01T02:43:44Z</dcterms:created>
  <dcterms:modified xsi:type="dcterms:W3CDTF">2026-10-03T19:09:00Z</dcterms:modified>
  <cp:category/>
  <cp:contentStatus/>
</cp:coreProperties>
</file>